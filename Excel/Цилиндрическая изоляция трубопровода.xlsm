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ЛазаришинАртурАндрее\Desktop\Дз Модл\493907_LazarishinArtur_opt\Excel\"/>
    </mc:Choice>
  </mc:AlternateContent>
  <xr:revisionPtr revIDLastSave="0" documentId="13_ncr:1_{0A2F8931-8CC0-4CD1-BB35-31C022819E2B}" xr6:coauthVersionLast="47" xr6:coauthVersionMax="47" xr10:uidLastSave="{00000000-0000-0000-0000-000000000000}"/>
  <bookViews>
    <workbookView xWindow="-120" yWindow="-120" windowWidth="28110" windowHeight="16440" activeTab="1" xr2:uid="{00000000-000D-0000-FFFF-FFFF00000000}"/>
  </bookViews>
  <sheets>
    <sheet name="Цилиндрическая изоляция" sheetId="3" r:id="rId1"/>
    <sheet name="Цилиндрическая изоляция(макрос)" sheetId="4" r:id="rId2"/>
  </sheets>
  <definedNames>
    <definedName name="solver_adj" localSheetId="0" hidden="1">'Цилиндрическая изоляция'!$C$29:$C$31</definedName>
    <definedName name="solver_adj" localSheetId="1" hidden="1">'Цилиндрическая изоляция(макрос)'!$C$29:$C$31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1" localSheetId="0" hidden="1">'Цилиндрическая изоляция'!$C$40</definedName>
    <definedName name="solver_lhs1" localSheetId="1" hidden="1">'Цилиндрическая изоляция(макрос)'!$C$32</definedName>
    <definedName name="solver_lhs2" localSheetId="0" hidden="1">'Цилиндрическая изоляция'!$C$32</definedName>
    <definedName name="solver_lhs2" localSheetId="1" hidden="1">'Цилиндрическая изоляция(макрос)'!$C$40</definedName>
    <definedName name="solver_lhs3" localSheetId="0" hidden="1">'Цилиндрическая изоляция'!$C$30</definedName>
    <definedName name="solver_lhs3" localSheetId="1" hidden="1">'Цилиндрическая изоляция(макрос)'!$C$30</definedName>
    <definedName name="solver_lhs4" localSheetId="0" hidden="1">'Цилиндрическая изоляция'!$C$29</definedName>
    <definedName name="solver_lhs4" localSheetId="1" hidden="1">'Цилиндрическая изоляция(макрос)'!$C$29</definedName>
    <definedName name="solver_lhs5" localSheetId="0" hidden="1">'Цилиндрическая изоляция'!$C$31</definedName>
    <definedName name="solver_lhs5" localSheetId="1" hidden="1">'Цилиндрическая изоляция(макрос)'!$C$31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5</definedName>
    <definedName name="solver_num" localSheetId="1" hidden="1">5</definedName>
    <definedName name="solver_nwt" localSheetId="0" hidden="1">1</definedName>
    <definedName name="solver_opt" localSheetId="0" hidden="1">'Цилиндрическая изоляция'!$C$34</definedName>
    <definedName name="solver_opt" localSheetId="1" hidden="1">'Цилиндрическая изоляция(макрос)'!$C$34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el1" localSheetId="1" hidden="1">1</definedName>
    <definedName name="solver_rel2" localSheetId="0" hidden="1">1</definedName>
    <definedName name="solver_rel2" localSheetId="1" hidden="1">3</definedName>
    <definedName name="solver_rel3" localSheetId="0" hidden="1">3</definedName>
    <definedName name="solver_rel3" localSheetId="1" hidden="1">3</definedName>
    <definedName name="solver_rel4" localSheetId="0" hidden="1">3</definedName>
    <definedName name="solver_rel4" localSheetId="1" hidden="1">3</definedName>
    <definedName name="solver_rel5" localSheetId="0" hidden="1">3</definedName>
    <definedName name="solver_rel5" localSheetId="1" hidden="1">3</definedName>
    <definedName name="solver_rhs1" localSheetId="0" hidden="1">0</definedName>
    <definedName name="solver_rhs1" localSheetId="1" hidden="1">'Цилиндрическая изоляция(макрос)'!$C$13</definedName>
    <definedName name="solver_rhs2" localSheetId="0" hidden="1">'Цилиндрическая изоляция'!$C$13</definedName>
    <definedName name="solver_rhs2" localSheetId="1" hidden="1">0</definedName>
    <definedName name="solver_rhs3" localSheetId="0" hidden="1">0</definedName>
    <definedName name="solver_rhs3" localSheetId="1" hidden="1">0</definedName>
    <definedName name="solver_rhs4" localSheetId="0" hidden="1">0</definedName>
    <definedName name="solver_rhs4" localSheetId="1" hidden="1">0</definedName>
    <definedName name="solver_rhs5" localSheetId="0" hidden="1">0</definedName>
    <definedName name="solver_rhs5" localSheetId="1" hidden="1">0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mp" localSheetId="0" hidden="1">0</definedName>
    <definedName name="solver_tol" localSheetId="0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4" l="1"/>
  <c r="C32" i="4"/>
  <c r="C22" i="4"/>
  <c r="C40" i="4"/>
  <c r="C17" i="4"/>
  <c r="C18" i="4" s="1"/>
  <c r="C19" i="4" s="1"/>
  <c r="C40" i="3"/>
  <c r="C17" i="3"/>
  <c r="C18" i="3" s="1"/>
  <c r="C19" i="3" s="1"/>
  <c r="C32" i="3"/>
  <c r="C34" i="3"/>
  <c r="C22" i="3"/>
  <c r="C37" i="3" l="1"/>
  <c r="C38" i="3" s="1"/>
  <c r="C39" i="3" s="1"/>
  <c r="C37" i="4"/>
  <c r="C38" i="4" s="1"/>
  <c r="C3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Прохорова</author>
    <author>Лавров В.В.</author>
  </authors>
  <commentList>
    <comment ref="B17" authorId="0" shapeId="0" xr:uid="{00000000-0006-0000-0000-000001000000}">
      <text>
        <r>
          <rPr>
            <b/>
            <sz val="8"/>
            <color indexed="81"/>
            <rFont val="Tahoma"/>
            <family val="2"/>
            <charset val="204"/>
          </rPr>
          <t xml:space="preserve">Сумма внешнего диаметра и удвоенной толщины первого слоя
</t>
        </r>
      </text>
    </comment>
    <comment ref="B18" authorId="0" shapeId="0" xr:uid="{00000000-0006-0000-0000-000002000000}">
      <text>
        <r>
          <rPr>
            <b/>
            <sz val="8"/>
            <color indexed="81"/>
            <rFont val="Tahoma"/>
            <family val="2"/>
            <charset val="204"/>
          </rPr>
          <t>Сумма D3 и удвоенной толщины второго слоя</t>
        </r>
      </text>
    </comment>
    <comment ref="B19" authorId="1" shapeId="0" xr:uid="{00000000-0006-0000-0000-000003000000}">
      <text>
        <r>
          <rPr>
            <b/>
            <sz val="8"/>
            <color indexed="81"/>
            <rFont val="Tahoma"/>
            <family val="2"/>
            <charset val="204"/>
          </rPr>
          <t>Сумма D4 и удвоенной толщины третьего слоя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Прохорова</author>
    <author>Лавров В.В.</author>
  </authors>
  <commentList>
    <comment ref="B17" authorId="0" shapeId="0" xr:uid="{00000000-0006-0000-0100-000001000000}">
      <text>
        <r>
          <rPr>
            <b/>
            <sz val="8"/>
            <color indexed="81"/>
            <rFont val="Tahoma"/>
            <family val="2"/>
            <charset val="204"/>
          </rPr>
          <t xml:space="preserve">Сумма внешнего диаметра и удвоенной толщины первого слоя
</t>
        </r>
      </text>
    </comment>
    <comment ref="B18" authorId="0" shapeId="0" xr:uid="{00000000-0006-0000-0100-000002000000}">
      <text>
        <r>
          <rPr>
            <b/>
            <sz val="8"/>
            <color indexed="81"/>
            <rFont val="Tahoma"/>
            <family val="2"/>
            <charset val="204"/>
          </rPr>
          <t>Сумма D3 и удвоенной толщины второго слоя</t>
        </r>
      </text>
    </comment>
    <comment ref="B19" authorId="1" shapeId="0" xr:uid="{00000000-0006-0000-0100-000003000000}">
      <text>
        <r>
          <rPr>
            <b/>
            <sz val="8"/>
            <color indexed="81"/>
            <rFont val="Tahoma"/>
            <family val="2"/>
            <charset val="204"/>
          </rPr>
          <t>Сумма D4 и удвоенной толщины третьего слоя</t>
        </r>
      </text>
    </comment>
  </commentList>
</comments>
</file>

<file path=xl/sharedStrings.xml><?xml version="1.0" encoding="utf-8"?>
<sst xmlns="http://schemas.openxmlformats.org/spreadsheetml/2006/main" count="76" uniqueCount="38">
  <si>
    <t>Параметры</t>
  </si>
  <si>
    <t>Величина</t>
  </si>
  <si>
    <t>Коэффициент теплопроводности,Вт/(мС)</t>
  </si>
  <si>
    <t>,</t>
  </si>
  <si>
    <t xml:space="preserve">               материала трубы</t>
  </si>
  <si>
    <t xml:space="preserve">               первого материала изоляции                 </t>
  </si>
  <si>
    <t xml:space="preserve">               второго материала изоляции</t>
  </si>
  <si>
    <t>Стоимость материала изоляции,усл.ед./м3</t>
  </si>
  <si>
    <t xml:space="preserve">               первого материала</t>
  </si>
  <si>
    <t xml:space="preserve">               второго материала</t>
  </si>
  <si>
    <t xml:space="preserve">               внутренний           </t>
  </si>
  <si>
    <t xml:space="preserve">               внешний</t>
  </si>
  <si>
    <t xml:space="preserve">               D3</t>
  </si>
  <si>
    <t xml:space="preserve">               D4</t>
  </si>
  <si>
    <t>Температура,С</t>
  </si>
  <si>
    <t xml:space="preserve">               окружающей среды</t>
  </si>
  <si>
    <t xml:space="preserve">               жидкости</t>
  </si>
  <si>
    <t xml:space="preserve">               наружной поверхности</t>
  </si>
  <si>
    <t>Козффициент теплоотдачи,Вт/ м2С</t>
  </si>
  <si>
    <t xml:space="preserve">               внутренний</t>
  </si>
  <si>
    <t xml:space="preserve">               наружный</t>
  </si>
  <si>
    <t>Изоляционный слой</t>
  </si>
  <si>
    <t>Толщины изоляции</t>
  </si>
  <si>
    <t xml:space="preserve">первый </t>
  </si>
  <si>
    <t>второй</t>
  </si>
  <si>
    <t>Суммарная</t>
  </si>
  <si>
    <t>Температура наружной поверхности изоляции</t>
  </si>
  <si>
    <t xml:space="preserve">Линейный коэффициент теплопередачи   </t>
  </si>
  <si>
    <t xml:space="preserve">Тепловой поток                                          </t>
  </si>
  <si>
    <t>Разность температур</t>
  </si>
  <si>
    <t>Суммарная толщина изоляции,м</t>
  </si>
  <si>
    <t>Диаметр трубы,м</t>
  </si>
  <si>
    <t xml:space="preserve">               третьего материала изоляции</t>
  </si>
  <si>
    <t xml:space="preserve">Расчет толщины тепловой изоляции трубопроводов </t>
  </si>
  <si>
    <t xml:space="preserve">               третьего материала</t>
  </si>
  <si>
    <t xml:space="preserve">               D5</t>
  </si>
  <si>
    <t>третий</t>
  </si>
  <si>
    <t>Целевая функция (стоимость одного погонного метра изоляции)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</si>
</sst>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 Cyr"/>
      <charset val="204"/>
    </font>
    <font>
      <b/>
      <sz val="10"/>
      <name val="Arial Cyr"/>
      <charset val="204"/>
    </font>
    <font>
      <i/>
      <sz val="10"/>
      <name val="Arial Cyr"/>
      <charset val="204"/>
    </font>
    <font>
      <sz val="8"/>
      <name val="Arial Cyr"/>
      <charset val="204"/>
    </font>
    <font>
      <b/>
      <sz val="12"/>
      <name val="Arial Cyr"/>
      <charset val="204"/>
    </font>
    <font>
      <b/>
      <sz val="8"/>
      <color indexed="81"/>
      <name val="Tahoma"/>
      <family val="2"/>
      <charset val="204"/>
    </font>
    <font>
      <sz val="10"/>
      <color indexed="10"/>
      <name val="Arial Cyr"/>
      <charset val="204"/>
    </font>
    <font>
      <sz val="10"/>
      <color rgb="FFFF0000"/>
      <name val="Arial Cyr"/>
      <charset val="204"/>
    </font>
    <font>
      <sz val="10"/>
      <color rgb="FF000000"/>
      <name val="Arial Cy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 applyAlignment="1">
      <alignment horizontal="centerContinuous"/>
    </xf>
    <xf numFmtId="0" fontId="0" fillId="0" borderId="8" xfId="0" applyBorder="1"/>
    <xf numFmtId="0" fontId="0" fillId="0" borderId="9" xfId="0" applyBorder="1"/>
    <xf numFmtId="0" fontId="4" fillId="0" borderId="0" xfId="0" applyFont="1"/>
    <xf numFmtId="2" fontId="0" fillId="0" borderId="2" xfId="0" applyNumberFormat="1" applyBorder="1"/>
    <xf numFmtId="2" fontId="0" fillId="0" borderId="0" xfId="0" applyNumberFormat="1"/>
    <xf numFmtId="2" fontId="0" fillId="2" borderId="10" xfId="0" applyNumberFormat="1" applyFill="1" applyBorder="1"/>
    <xf numFmtId="2" fontId="0" fillId="0" borderId="11" xfId="0" applyNumberFormat="1" applyBorder="1"/>
    <xf numFmtId="2" fontId="0" fillId="0" borderId="4" xfId="0" applyNumberFormat="1" applyBorder="1"/>
    <xf numFmtId="2" fontId="0" fillId="0" borderId="6" xfId="0" applyNumberFormat="1" applyBorder="1"/>
    <xf numFmtId="0" fontId="1" fillId="0" borderId="1" xfId="0" applyFont="1" applyBorder="1"/>
    <xf numFmtId="0" fontId="1" fillId="0" borderId="2" xfId="0" applyFont="1" applyBorder="1"/>
    <xf numFmtId="0" fontId="2" fillId="0" borderId="3" xfId="0" applyFont="1" applyBorder="1"/>
    <xf numFmtId="2" fontId="6" fillId="0" borderId="12" xfId="0" applyNumberFormat="1" applyFont="1" applyBorder="1"/>
    <xf numFmtId="2" fontId="0" fillId="2" borderId="13" xfId="0" applyNumberFormat="1" applyFill="1" applyBorder="1"/>
    <xf numFmtId="0" fontId="0" fillId="0" borderId="14" xfId="0" applyBorder="1"/>
    <xf numFmtId="0" fontId="0" fillId="0" borderId="13" xfId="0" applyBorder="1"/>
    <xf numFmtId="0" fontId="0" fillId="0" borderId="15" xfId="0" applyBorder="1"/>
    <xf numFmtId="0" fontId="0" fillId="0" borderId="10" xfId="0" applyBorder="1"/>
    <xf numFmtId="2" fontId="7" fillId="0" borderId="10" xfId="0" applyNumberFormat="1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27</xdr:row>
          <xdr:rowOff>161925</xdr:rowOff>
        </xdr:from>
        <xdr:to>
          <xdr:col>5</xdr:col>
          <xdr:colOff>361950</xdr:colOff>
          <xdr:row>30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F40"/>
  <sheetViews>
    <sheetView workbookViewId="0">
      <selection activeCell="D31" sqref="D31"/>
    </sheetView>
  </sheetViews>
  <sheetFormatPr defaultRowHeight="12.75" x14ac:dyDescent="0.2"/>
  <cols>
    <col min="1" max="1" width="6.42578125" customWidth="1"/>
    <col min="2" max="2" width="64.85546875" bestFit="1" customWidth="1"/>
    <col min="3" max="3" width="17.7109375" bestFit="1" customWidth="1"/>
    <col min="6" max="6" width="1.5703125" bestFit="1" customWidth="1"/>
  </cols>
  <sheetData>
    <row r="1" spans="2:6" ht="15.75" x14ac:dyDescent="0.25">
      <c r="B1" s="11" t="s">
        <v>33</v>
      </c>
      <c r="C1" s="11"/>
    </row>
    <row r="2" spans="2:6" ht="13.5" thickBot="1" x14ac:dyDescent="0.25"/>
    <row r="3" spans="2:6" ht="13.5" thickBot="1" x14ac:dyDescent="0.25">
      <c r="B3" s="18" t="s">
        <v>0</v>
      </c>
      <c r="C3" s="19" t="s">
        <v>1</v>
      </c>
    </row>
    <row r="4" spans="2:6" x14ac:dyDescent="0.2">
      <c r="B4" s="20" t="s">
        <v>2</v>
      </c>
      <c r="C4" s="4"/>
      <c r="F4" t="s">
        <v>3</v>
      </c>
    </row>
    <row r="5" spans="2:6" x14ac:dyDescent="0.2">
      <c r="B5" s="3" t="s">
        <v>4</v>
      </c>
      <c r="C5" s="4">
        <v>24</v>
      </c>
    </row>
    <row r="6" spans="2:6" x14ac:dyDescent="0.2">
      <c r="B6" s="3" t="s">
        <v>5</v>
      </c>
      <c r="C6" s="4">
        <v>0.9</v>
      </c>
    </row>
    <row r="7" spans="2:6" x14ac:dyDescent="0.2">
      <c r="B7" s="3" t="s">
        <v>6</v>
      </c>
      <c r="C7" s="4">
        <v>0.7</v>
      </c>
    </row>
    <row r="8" spans="2:6" x14ac:dyDescent="0.2">
      <c r="B8" s="3" t="s">
        <v>32</v>
      </c>
      <c r="C8" s="4">
        <v>0.3</v>
      </c>
    </row>
    <row r="9" spans="2:6" x14ac:dyDescent="0.2">
      <c r="B9" s="20" t="s">
        <v>7</v>
      </c>
      <c r="C9" s="4"/>
    </row>
    <row r="10" spans="2:6" x14ac:dyDescent="0.2">
      <c r="B10" s="3" t="s">
        <v>8</v>
      </c>
      <c r="C10" s="4">
        <v>10</v>
      </c>
    </row>
    <row r="11" spans="2:6" x14ac:dyDescent="0.2">
      <c r="B11" s="3" t="s">
        <v>9</v>
      </c>
      <c r="C11" s="4">
        <v>30</v>
      </c>
    </row>
    <row r="12" spans="2:6" x14ac:dyDescent="0.2">
      <c r="B12" s="3" t="s">
        <v>34</v>
      </c>
      <c r="C12" s="4">
        <v>80</v>
      </c>
    </row>
    <row r="13" spans="2:6" x14ac:dyDescent="0.2">
      <c r="B13" s="20" t="s">
        <v>30</v>
      </c>
      <c r="C13" s="4">
        <v>0.3</v>
      </c>
    </row>
    <row r="14" spans="2:6" x14ac:dyDescent="0.2">
      <c r="B14" s="20" t="s">
        <v>31</v>
      </c>
      <c r="C14" s="4"/>
    </row>
    <row r="15" spans="2:6" x14ac:dyDescent="0.2">
      <c r="B15" s="3" t="s">
        <v>10</v>
      </c>
      <c r="C15" s="4">
        <v>0.2</v>
      </c>
    </row>
    <row r="16" spans="2:6" x14ac:dyDescent="0.2">
      <c r="B16" s="3" t="s">
        <v>11</v>
      </c>
      <c r="C16" s="4">
        <v>0.23</v>
      </c>
    </row>
    <row r="17" spans="2:3" x14ac:dyDescent="0.2">
      <c r="B17" s="3" t="s">
        <v>12</v>
      </c>
      <c r="C17" s="16">
        <f>C16+2*C29</f>
        <v>0.62100922395726454</v>
      </c>
    </row>
    <row r="18" spans="2:3" x14ac:dyDescent="0.2">
      <c r="B18" s="3" t="s">
        <v>13</v>
      </c>
      <c r="C18" s="16">
        <f>C17+2*C30</f>
        <v>0.62100922395726454</v>
      </c>
    </row>
    <row r="19" spans="2:3" x14ac:dyDescent="0.2">
      <c r="B19" s="3" t="s">
        <v>35</v>
      </c>
      <c r="C19" s="16">
        <f>C18+2*C31</f>
        <v>0.83</v>
      </c>
    </row>
    <row r="20" spans="2:3" x14ac:dyDescent="0.2">
      <c r="B20" s="20" t="s">
        <v>14</v>
      </c>
      <c r="C20" s="4"/>
    </row>
    <row r="21" spans="2:3" x14ac:dyDescent="0.2">
      <c r="B21" s="3" t="s">
        <v>15</v>
      </c>
      <c r="C21" s="4">
        <v>20</v>
      </c>
    </row>
    <row r="22" spans="2:3" x14ac:dyDescent="0.2">
      <c r="B22" s="3" t="s">
        <v>16</v>
      </c>
      <c r="C22" s="4">
        <f>400+500</f>
        <v>900</v>
      </c>
    </row>
    <row r="23" spans="2:3" x14ac:dyDescent="0.2">
      <c r="B23" s="3" t="s">
        <v>17</v>
      </c>
      <c r="C23" s="4">
        <v>30</v>
      </c>
    </row>
    <row r="24" spans="2:3" x14ac:dyDescent="0.2">
      <c r="B24" s="20" t="s">
        <v>18</v>
      </c>
      <c r="C24" s="4"/>
    </row>
    <row r="25" spans="2:3" x14ac:dyDescent="0.2">
      <c r="B25" s="3" t="s">
        <v>19</v>
      </c>
      <c r="C25" s="4">
        <v>500</v>
      </c>
    </row>
    <row r="26" spans="2:3" ht="13.5" thickBot="1" x14ac:dyDescent="0.25">
      <c r="B26" s="5" t="s">
        <v>20</v>
      </c>
      <c r="C26" s="6">
        <v>100</v>
      </c>
    </row>
    <row r="27" spans="2:3" ht="13.5" thickBot="1" x14ac:dyDescent="0.25"/>
    <row r="28" spans="2:3" ht="13.5" thickBot="1" x14ac:dyDescent="0.25">
      <c r="B28" s="8" t="s">
        <v>21</v>
      </c>
      <c r="C28" s="2" t="s">
        <v>22</v>
      </c>
    </row>
    <row r="29" spans="2:3" x14ac:dyDescent="0.2">
      <c r="B29" s="7" t="s">
        <v>23</v>
      </c>
      <c r="C29" s="21">
        <v>0.19550461197863228</v>
      </c>
    </row>
    <row r="30" spans="2:3" x14ac:dyDescent="0.2">
      <c r="B30" s="9" t="s">
        <v>24</v>
      </c>
      <c r="C30" s="21">
        <v>0</v>
      </c>
    </row>
    <row r="31" spans="2:3" ht="13.5" thickBot="1" x14ac:dyDescent="0.25">
      <c r="B31" s="9" t="s">
        <v>36</v>
      </c>
      <c r="C31" s="21">
        <v>0.10449538802136769</v>
      </c>
    </row>
    <row r="32" spans="2:3" ht="13.5" thickBot="1" x14ac:dyDescent="0.25">
      <c r="B32" s="1" t="s">
        <v>25</v>
      </c>
      <c r="C32" s="12">
        <f>SUM(C29:C31)</f>
        <v>0.3</v>
      </c>
    </row>
    <row r="33" spans="2:3" ht="13.5" thickBot="1" x14ac:dyDescent="0.25">
      <c r="C33" s="13"/>
    </row>
    <row r="34" spans="2:3" ht="13.5" thickBot="1" x14ac:dyDescent="0.25">
      <c r="B34" s="26" t="s">
        <v>37</v>
      </c>
      <c r="C34" s="14">
        <f>3.14*C10*C29*(C29+C16)+3.14*C11*C30*(C30+C16+2*C29)+3.14*C12*C31*(C31+C16+2*C29+2*C30)</f>
        <v>21.656052529611774</v>
      </c>
    </row>
    <row r="35" spans="2:3" x14ac:dyDescent="0.2">
      <c r="C35" s="13"/>
    </row>
    <row r="36" spans="2:3" ht="13.5" thickBot="1" x14ac:dyDescent="0.25">
      <c r="C36" s="13"/>
    </row>
    <row r="37" spans="2:3" x14ac:dyDescent="0.2">
      <c r="B37" s="10" t="s">
        <v>27</v>
      </c>
      <c r="C37" s="15">
        <f>1/(1/(C25*C15)+1*LN(C16/C15)/(2*C5)+LN(C17/C16)/(2*C6)+LN(C18/C17)/(2*C7)+LN(C19/C18)/(2*C8)+1/(C26*C18))</f>
        <v>0.93958859162445763</v>
      </c>
    </row>
    <row r="38" spans="2:3" x14ac:dyDescent="0.2">
      <c r="B38" s="3" t="s">
        <v>28</v>
      </c>
      <c r="C38" s="16">
        <f>3.14*C37*(C22-C21)</f>
        <v>2596.2711963767015</v>
      </c>
    </row>
    <row r="39" spans="2:3" x14ac:dyDescent="0.2">
      <c r="B39" s="3" t="s">
        <v>26</v>
      </c>
      <c r="C39" s="16">
        <f>C21+3.14/(C38*C26*C19)</f>
        <v>20.000014571407391</v>
      </c>
    </row>
    <row r="40" spans="2:3" ht="13.5" thickBot="1" x14ac:dyDescent="0.25">
      <c r="B40" s="5" t="s">
        <v>29</v>
      </c>
      <c r="C40" s="17">
        <f>C23-(C21+(C22-C21)/(C26*(C16+2*C29+2*C30+2*C31)*(1/(C25*C15)+LN(C16/C15)/(2*C5)+ LN((C16+2*C29)/C16)/(2*C6)+LN((C16+2*C29+2*C30)/(C16+2*C29))/(2*C7)+LN((C16+2*C29+2*C30+2*C31)/(C16+2*C29+2*C30))/(2*C8)+1/(C26*(C16+2*C29+2*C30+2*C31)))))</f>
        <v>4.1410807227748592E-8</v>
      </c>
    </row>
  </sheetData>
  <phoneticPr fontId="3" type="noConversion"/>
  <printOptions gridLines="1" gridLinesSet="0"/>
  <pageMargins left="0.75" right="0.75" top="1" bottom="1" header="0.5" footer="0.5"/>
  <headerFooter alignWithMargins="0">
    <oddHeader>&amp;A</oddHeader>
    <oddFooter>Стр. &amp;P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F40"/>
  <sheetViews>
    <sheetView tabSelected="1" workbookViewId="0">
      <selection activeCell="F41" sqref="F41"/>
    </sheetView>
  </sheetViews>
  <sheetFormatPr defaultRowHeight="12.75" x14ac:dyDescent="0.2"/>
  <cols>
    <col min="2" max="2" width="64.85546875" bestFit="1" customWidth="1"/>
    <col min="3" max="3" width="17.7109375" bestFit="1" customWidth="1"/>
    <col min="6" max="6" width="7.28515625" customWidth="1"/>
  </cols>
  <sheetData>
    <row r="1" spans="2:6" ht="15.75" x14ac:dyDescent="0.25">
      <c r="B1" s="11" t="s">
        <v>33</v>
      </c>
      <c r="C1" s="11"/>
    </row>
    <row r="2" spans="2:6" ht="13.5" thickBot="1" x14ac:dyDescent="0.25"/>
    <row r="3" spans="2:6" ht="13.5" thickBot="1" x14ac:dyDescent="0.25">
      <c r="B3" s="18" t="s">
        <v>0</v>
      </c>
      <c r="C3" s="19" t="s">
        <v>1</v>
      </c>
    </row>
    <row r="4" spans="2:6" x14ac:dyDescent="0.2">
      <c r="B4" s="20" t="s">
        <v>2</v>
      </c>
      <c r="C4" s="4"/>
      <c r="F4" t="s">
        <v>3</v>
      </c>
    </row>
    <row r="5" spans="2:6" x14ac:dyDescent="0.2">
      <c r="B5" s="3" t="s">
        <v>4</v>
      </c>
      <c r="C5" s="4">
        <v>24</v>
      </c>
    </row>
    <row r="6" spans="2:6" x14ac:dyDescent="0.2">
      <c r="B6" s="3" t="s">
        <v>5</v>
      </c>
      <c r="C6" s="4">
        <v>0.9</v>
      </c>
    </row>
    <row r="7" spans="2:6" x14ac:dyDescent="0.2">
      <c r="B7" s="3" t="s">
        <v>6</v>
      </c>
      <c r="C7" s="4">
        <v>0.7</v>
      </c>
    </row>
    <row r="8" spans="2:6" x14ac:dyDescent="0.2">
      <c r="B8" s="3" t="s">
        <v>32</v>
      </c>
      <c r="C8" s="4">
        <v>0.3</v>
      </c>
    </row>
    <row r="9" spans="2:6" x14ac:dyDescent="0.2">
      <c r="B9" s="20" t="s">
        <v>7</v>
      </c>
      <c r="C9" s="4"/>
    </row>
    <row r="10" spans="2:6" x14ac:dyDescent="0.2">
      <c r="B10" s="3" t="s">
        <v>8</v>
      </c>
      <c r="C10" s="4">
        <v>10</v>
      </c>
    </row>
    <row r="11" spans="2:6" x14ac:dyDescent="0.2">
      <c r="B11" s="3" t="s">
        <v>9</v>
      </c>
      <c r="C11" s="4">
        <v>30</v>
      </c>
    </row>
    <row r="12" spans="2:6" x14ac:dyDescent="0.2">
      <c r="B12" s="3" t="s">
        <v>34</v>
      </c>
      <c r="C12" s="4">
        <v>80</v>
      </c>
    </row>
    <row r="13" spans="2:6" x14ac:dyDescent="0.2">
      <c r="B13" s="20" t="s">
        <v>30</v>
      </c>
      <c r="C13" s="4">
        <v>0.3</v>
      </c>
    </row>
    <row r="14" spans="2:6" x14ac:dyDescent="0.2">
      <c r="B14" s="20" t="s">
        <v>31</v>
      </c>
      <c r="C14" s="4"/>
    </row>
    <row r="15" spans="2:6" x14ac:dyDescent="0.2">
      <c r="B15" s="3" t="s">
        <v>10</v>
      </c>
      <c r="C15" s="4">
        <v>0.2</v>
      </c>
    </row>
    <row r="16" spans="2:6" x14ac:dyDescent="0.2">
      <c r="B16" s="3" t="s">
        <v>11</v>
      </c>
      <c r="C16" s="4">
        <v>0.23</v>
      </c>
    </row>
    <row r="17" spans="2:3" x14ac:dyDescent="0.2">
      <c r="B17" s="3" t="s">
        <v>12</v>
      </c>
      <c r="C17" s="16">
        <f>C16+2*C29</f>
        <v>0.62100922640588685</v>
      </c>
    </row>
    <row r="18" spans="2:3" x14ac:dyDescent="0.2">
      <c r="B18" s="3" t="s">
        <v>13</v>
      </c>
      <c r="C18" s="16">
        <f>C17+2*C30</f>
        <v>0.62100922640588685</v>
      </c>
    </row>
    <row r="19" spans="2:3" x14ac:dyDescent="0.2">
      <c r="B19" s="3" t="s">
        <v>35</v>
      </c>
      <c r="C19" s="16">
        <f>C18+2*C31</f>
        <v>0.83</v>
      </c>
    </row>
    <row r="20" spans="2:3" x14ac:dyDescent="0.2">
      <c r="B20" s="20" t="s">
        <v>14</v>
      </c>
      <c r="C20" s="4"/>
    </row>
    <row r="21" spans="2:3" x14ac:dyDescent="0.2">
      <c r="B21" s="3" t="s">
        <v>15</v>
      </c>
      <c r="C21" s="4">
        <v>20</v>
      </c>
    </row>
    <row r="22" spans="2:3" x14ac:dyDescent="0.2">
      <c r="B22" s="3" t="s">
        <v>16</v>
      </c>
      <c r="C22" s="4">
        <f>400+500</f>
        <v>900</v>
      </c>
    </row>
    <row r="23" spans="2:3" x14ac:dyDescent="0.2">
      <c r="B23" s="3" t="s">
        <v>17</v>
      </c>
      <c r="C23" s="4">
        <v>30</v>
      </c>
    </row>
    <row r="24" spans="2:3" x14ac:dyDescent="0.2">
      <c r="B24" s="20" t="s">
        <v>18</v>
      </c>
      <c r="C24" s="4"/>
    </row>
    <row r="25" spans="2:3" x14ac:dyDescent="0.2">
      <c r="B25" s="3" t="s">
        <v>19</v>
      </c>
      <c r="C25" s="4">
        <v>500</v>
      </c>
    </row>
    <row r="26" spans="2:3" ht="13.5" thickBot="1" x14ac:dyDescent="0.25">
      <c r="B26" s="5" t="s">
        <v>20</v>
      </c>
      <c r="C26" s="6">
        <v>100</v>
      </c>
    </row>
    <row r="27" spans="2:3" ht="13.5" thickBot="1" x14ac:dyDescent="0.25"/>
    <row r="28" spans="2:3" ht="13.5" thickBot="1" x14ac:dyDescent="0.25">
      <c r="B28" s="8" t="s">
        <v>21</v>
      </c>
      <c r="C28" s="2" t="s">
        <v>22</v>
      </c>
    </row>
    <row r="29" spans="2:3" ht="13.5" thickBot="1" x14ac:dyDescent="0.25">
      <c r="B29" s="7" t="s">
        <v>23</v>
      </c>
      <c r="C29" s="27">
        <v>0.19550461320294341</v>
      </c>
    </row>
    <row r="30" spans="2:3" ht="13.5" thickBot="1" x14ac:dyDescent="0.25">
      <c r="B30" s="9" t="s">
        <v>24</v>
      </c>
      <c r="C30" s="27">
        <v>0</v>
      </c>
    </row>
    <row r="31" spans="2:3" ht="13.5" thickBot="1" x14ac:dyDescent="0.25">
      <c r="B31" s="9" t="s">
        <v>36</v>
      </c>
      <c r="C31" s="27">
        <v>0.10449538679705657</v>
      </c>
    </row>
    <row r="32" spans="2:3" ht="13.5" thickBot="1" x14ac:dyDescent="0.25">
      <c r="B32" s="1" t="s">
        <v>25</v>
      </c>
      <c r="C32" s="12">
        <f>SUM(C29:C31)</f>
        <v>0.3</v>
      </c>
    </row>
    <row r="33" spans="1:3" ht="13.5" thickBot="1" x14ac:dyDescent="0.25">
      <c r="B33" s="23"/>
      <c r="C33" s="13"/>
    </row>
    <row r="34" spans="1:3" ht="13.5" thickBot="1" x14ac:dyDescent="0.25">
      <c r="A34" s="25"/>
      <c r="B34" s="24" t="s">
        <v>37</v>
      </c>
      <c r="C34" s="22">
        <f>3.14*C10*C29*(C29+C16)+3.14*C11*C30*(C30+C16+2*C29)+3.14*C12*C31*(C31+C16+2*C29+2*C30)</f>
        <v>21.656052362495974</v>
      </c>
    </row>
    <row r="35" spans="1:3" x14ac:dyDescent="0.2">
      <c r="C35" s="13"/>
    </row>
    <row r="36" spans="1:3" ht="13.5" thickBot="1" x14ac:dyDescent="0.25">
      <c r="C36" s="13"/>
    </row>
    <row r="37" spans="1:3" x14ac:dyDescent="0.2">
      <c r="B37" s="10" t="s">
        <v>27</v>
      </c>
      <c r="C37" s="15">
        <f>1/(1/(C25*C15)+1*LN(C16/C15)/(2*C5)+LN(C17/C16)/(2*C6)+LN(C18/C17)/(2*C7)+LN(C19/C18)/(2*C8)+1/(C26*C18))</f>
        <v>0.93958859554824603</v>
      </c>
    </row>
    <row r="38" spans="1:3" x14ac:dyDescent="0.2">
      <c r="B38" s="3" t="s">
        <v>28</v>
      </c>
      <c r="C38" s="16">
        <f>3.14*C37*(C22-C21)</f>
        <v>2596.2712072189133</v>
      </c>
    </row>
    <row r="39" spans="1:3" x14ac:dyDescent="0.2">
      <c r="B39" s="3" t="s">
        <v>26</v>
      </c>
      <c r="C39" s="16">
        <f>C21+3.14/(C38*C26*C19)</f>
        <v>20.000014571407331</v>
      </c>
    </row>
    <row r="40" spans="1:3" ht="13.5" thickBot="1" x14ac:dyDescent="0.25">
      <c r="B40" s="5" t="s">
        <v>29</v>
      </c>
      <c r="C40" s="17">
        <f>C23-(C21+(C22-C21)/(C26*(C16+2*C29+2*C30+2*C31)*(1/(C25*C15)+LN(C16/C15)/(2*C5)+ LN((C16+2*C29)/C16)/(2*C6)+LN((C16+2*C29+2*C30)/(C16+2*C29))/(2*C7)+LN((C16+2*C29+2*C30+2*C31)/(C16+2*C29+2*C30))/(2*C8)+1/(C26*(C16+2*C29+2*C30+2*C31)))))</f>
        <v>8.9251273038826184E-11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Кнопка_Расчёт">
                <anchor moveWithCells="1" sizeWithCells="1">
                  <from>
                    <xdr:col>3</xdr:col>
                    <xdr:colOff>247650</xdr:colOff>
                    <xdr:row>27</xdr:row>
                    <xdr:rowOff>161925</xdr:rowOff>
                  </from>
                  <to>
                    <xdr:col>5</xdr:col>
                    <xdr:colOff>361950</xdr:colOff>
                    <xdr:row>30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Цилиндрическая изоляция</vt:lpstr>
      <vt:lpstr>Цилиндрическая изоляция(макрос)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Прохорова</dc:creator>
  <cp:lastModifiedBy>Лазаришин Артур Андреевич</cp:lastModifiedBy>
  <dcterms:created xsi:type="dcterms:W3CDTF">2004-03-07T16:02:19Z</dcterms:created>
  <dcterms:modified xsi:type="dcterms:W3CDTF">2022-12-07T23:42:53Z</dcterms:modified>
</cp:coreProperties>
</file>