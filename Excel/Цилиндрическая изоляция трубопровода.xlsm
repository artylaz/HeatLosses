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азаришинАртурАндрее\Desktop\Дз Модл\493907_LazarishinArtur_opt\Excel\"/>
    </mc:Choice>
  </mc:AlternateContent>
  <xr:revisionPtr revIDLastSave="0" documentId="13_ncr:1_{6F1AE71C-5EF5-445C-A5BB-DB7BF534D06A}" xr6:coauthVersionLast="47" xr6:coauthVersionMax="47" xr10:uidLastSave="{00000000-0000-0000-0000-000000000000}"/>
  <bookViews>
    <workbookView xWindow="-120" yWindow="-120" windowWidth="28095" windowHeight="16440" activeTab="1" xr2:uid="{00000000-000D-0000-FFFF-FFFF00000000}"/>
  </bookViews>
  <sheets>
    <sheet name="Цилиндрическая изоляция" sheetId="3" r:id="rId1"/>
    <sheet name="Цилиндрическая изоляция(макрос)" sheetId="4" r:id="rId2"/>
  </sheets>
  <definedNames>
    <definedName name="solver_adj" localSheetId="0" hidden="1">'Цилиндрическая изоляция'!$C$29:$C$31</definedName>
    <definedName name="solver_adj" localSheetId="1" hidden="1">'Цилиндрическая изоляция(макрос)'!$C$29:$C$31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1" localSheetId="0" hidden="1">'Цилиндрическая изоляция'!$C$29</definedName>
    <definedName name="solver_lhs1" localSheetId="1" hidden="1">'Цилиндрическая изоляция(макрос)'!$C$32</definedName>
    <definedName name="solver_lhs2" localSheetId="0" hidden="1">'Цилиндрическая изоляция'!$C$31</definedName>
    <definedName name="solver_lhs2" localSheetId="1" hidden="1">'Цилиндрическая изоляция(макрос)'!$C$40</definedName>
    <definedName name="solver_lhs3" localSheetId="0" hidden="1">'Цилиндрическая изоляция'!$C$30</definedName>
    <definedName name="solver_lhs3" localSheetId="1" hidden="1">'Цилиндрическая изоляция(макрос)'!$C$30</definedName>
    <definedName name="solver_lhs4" localSheetId="0" hidden="1">'Цилиндрическая изоляция'!$C$40</definedName>
    <definedName name="solver_lhs4" localSheetId="1" hidden="1">'Цилиндрическая изоляция(макрос)'!$C$29</definedName>
    <definedName name="solver_lhs5" localSheetId="0" hidden="1">'Цилиндрическая изоляция'!$C$32</definedName>
    <definedName name="solver_lhs5" localSheetId="1" hidden="1">'Цилиндрическая изоляция(макрос)'!$C$31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5</definedName>
    <definedName name="solver_num" localSheetId="1" hidden="1">5</definedName>
    <definedName name="solver_nwt" localSheetId="0" hidden="1">1</definedName>
    <definedName name="solver_opt" localSheetId="0" hidden="1">'Цилиндрическая изоляция'!$C$34</definedName>
    <definedName name="solver_opt" localSheetId="1" hidden="1">'Цилиндрическая изоляция(макрос)'!$C$34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3</definedName>
    <definedName name="solver_rel3" localSheetId="1" hidden="1">3</definedName>
    <definedName name="solver_rel4" localSheetId="0" hidden="1">3</definedName>
    <definedName name="solver_rel4" localSheetId="1" hidden="1">3</definedName>
    <definedName name="solver_rel5" localSheetId="0" hidden="1">1</definedName>
    <definedName name="solver_rel5" localSheetId="1" hidden="1">3</definedName>
    <definedName name="solver_rhs1" localSheetId="0" hidden="1">0</definedName>
    <definedName name="solver_rhs1" localSheetId="1" hidden="1">'Цилиндрическая изоляция(макрос)'!$C$13</definedName>
    <definedName name="solver_rhs2" localSheetId="0" hidden="1">0</definedName>
    <definedName name="solver_rhs2" localSheetId="1" hidden="1">0</definedName>
    <definedName name="solver_rhs3" localSheetId="0" hidden="1">0</definedName>
    <definedName name="solver_rhs3" localSheetId="1" hidden="1">0</definedName>
    <definedName name="solver_rhs4" localSheetId="0" hidden="1">0</definedName>
    <definedName name="solver_rhs4" localSheetId="1" hidden="1">0</definedName>
    <definedName name="solver_rhs5" localSheetId="0" hidden="1">'Цилиндрическая изоляция'!$C$13</definedName>
    <definedName name="solver_rhs5" localSheetId="1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mp" localSheetId="0" hidden="1">0</definedName>
    <definedName name="solver_tol" localSheetId="0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3" l="1"/>
  <c r="C40" i="4"/>
  <c r="C17" i="4"/>
  <c r="C18" i="4" s="1"/>
  <c r="C34" i="4"/>
  <c r="C32" i="4"/>
  <c r="C22" i="4"/>
  <c r="C40" i="3"/>
  <c r="C17" i="3"/>
  <c r="C18" i="3" s="1"/>
  <c r="C19" i="3" s="1"/>
  <c r="C32" i="3"/>
  <c r="C22" i="3"/>
  <c r="C19" i="4" l="1"/>
  <c r="C37" i="4" s="1"/>
  <c r="C38" i="4" s="1"/>
  <c r="C39" i="4" s="1"/>
  <c r="C37" i="3"/>
  <c r="C38" i="3" s="1"/>
  <c r="C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sharedStrings.xml><?xml version="1.0" encoding="utf-8"?>
<sst xmlns="http://schemas.openxmlformats.org/spreadsheetml/2006/main" count="130" uniqueCount="92">
  <si>
    <t>Параметры</t>
  </si>
  <si>
    <t>Величина</t>
  </si>
  <si>
    <t>Коэффициент теплопроводности,Вт/(мС)</t>
  </si>
  <si>
    <t>,</t>
  </si>
  <si>
    <t xml:space="preserve">               материала трубы</t>
  </si>
  <si>
    <t xml:space="preserve">               первого материала изоляции                 </t>
  </si>
  <si>
    <t xml:space="preserve">               второго материала изоляции</t>
  </si>
  <si>
    <t>Стоимость материала изоляции,усл.ед./м3</t>
  </si>
  <si>
    <t xml:space="preserve">               первого материала</t>
  </si>
  <si>
    <t xml:space="preserve">               второго материала</t>
  </si>
  <si>
    <t xml:space="preserve">               внутренний           </t>
  </si>
  <si>
    <t xml:space="preserve">               внешний</t>
  </si>
  <si>
    <t xml:space="preserve">               D3</t>
  </si>
  <si>
    <t xml:space="preserve">               D4</t>
  </si>
  <si>
    <t>Температура,С</t>
  </si>
  <si>
    <t xml:space="preserve">               окружающей среды</t>
  </si>
  <si>
    <t xml:space="preserve">               жидкости</t>
  </si>
  <si>
    <t xml:space="preserve">               наружной поверхности</t>
  </si>
  <si>
    <t>Козффициент теплоотдачи,Вт/ м2С</t>
  </si>
  <si>
    <t xml:space="preserve">               внутренний</t>
  </si>
  <si>
    <t xml:space="preserve">               наружный</t>
  </si>
  <si>
    <t>Изоляционный слой</t>
  </si>
  <si>
    <t>Толщины изоляции</t>
  </si>
  <si>
    <t xml:space="preserve">первый </t>
  </si>
  <si>
    <t>второй</t>
  </si>
  <si>
    <t>Суммарная</t>
  </si>
  <si>
    <t>Температура наружной поверхности изоляции</t>
  </si>
  <si>
    <t xml:space="preserve">Линейный коэффициент теплопередачи   </t>
  </si>
  <si>
    <t xml:space="preserve">Тепловой поток                                          </t>
  </si>
  <si>
    <t>Разность температур</t>
  </si>
  <si>
    <t>Суммарная толщина изоляции,м</t>
  </si>
  <si>
    <t>Диаметр трубы,м</t>
  </si>
  <si>
    <t xml:space="preserve">               третьего материала изоляции</t>
  </si>
  <si>
    <t xml:space="preserve">Расчет толщины тепловой изоляции трубопроводов </t>
  </si>
  <si>
    <t xml:space="preserve">               третьего материала</t>
  </si>
  <si>
    <t xml:space="preserve">               D5</t>
  </si>
  <si>
    <t>третий</t>
  </si>
  <si>
    <t>Целевая функция (стоимость одного погонного метра изоляции)</t>
  </si>
  <si>
    <t>C5</t>
  </si>
  <si>
    <t>C6</t>
  </si>
  <si>
    <t>C7</t>
  </si>
  <si>
    <t>C8</t>
  </si>
  <si>
    <t>C10</t>
  </si>
  <si>
    <t>C11</t>
  </si>
  <si>
    <t>C12</t>
  </si>
  <si>
    <t>C13</t>
  </si>
  <si>
    <t>C15</t>
  </si>
  <si>
    <t>C16</t>
  </si>
  <si>
    <t>C17</t>
  </si>
  <si>
    <t>C18</t>
  </si>
  <si>
    <t>C19</t>
  </si>
  <si>
    <t>C21</t>
  </si>
  <si>
    <t>C22</t>
  </si>
  <si>
    <t>C23</t>
  </si>
  <si>
    <t>C25</t>
  </si>
  <si>
    <t>C26</t>
  </si>
  <si>
    <t>C29</t>
  </si>
  <si>
    <t>C30</t>
  </si>
  <si>
    <t>C31</t>
  </si>
  <si>
    <t>C32</t>
  </si>
  <si>
    <t>C34</t>
  </si>
  <si>
    <t>C37</t>
  </si>
  <si>
    <t>C38</t>
  </si>
  <si>
    <t>C39</t>
  </si>
  <si>
    <t>C40</t>
  </si>
  <si>
    <t>D3</t>
  </si>
  <si>
    <t>D4</t>
  </si>
  <si>
    <t>D5</t>
  </si>
  <si>
    <t>data.KoefTeMatTr</t>
  </si>
  <si>
    <t>data.KoefTeOneMatIzl</t>
  </si>
  <si>
    <t>data.KoefTeTwoMatIzl</t>
  </si>
  <si>
    <t>data.KoefTeThreeMatIzl</t>
  </si>
  <si>
    <t>data.StoOne</t>
  </si>
  <si>
    <t>data.StoTwo</t>
  </si>
  <si>
    <t>data.StoThree</t>
  </si>
  <si>
    <t>data.SumTolUzl</t>
  </si>
  <si>
    <t>data.D_vnu</t>
  </si>
  <si>
    <t>data.D_vne</t>
  </si>
  <si>
    <t>data.T_okr</t>
  </si>
  <si>
    <t>data.T_gid</t>
  </si>
  <si>
    <t>data.T_nar</t>
  </si>
  <si>
    <t>data.KoefTeplo_vn</t>
  </si>
  <si>
    <t>data.KoefTeplo_nar</t>
  </si>
  <si>
    <t>X1</t>
  </si>
  <si>
    <t>X2</t>
  </si>
  <si>
    <t>X3</t>
  </si>
  <si>
    <t>Sum_X</t>
  </si>
  <si>
    <t>Cel</t>
  </si>
  <si>
    <t>LinKoefTepl</t>
  </si>
  <si>
    <t>TeplPotok</t>
  </si>
  <si>
    <t>T_narPovIzl</t>
  </si>
  <si>
    <t>RazT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</si>
</sst>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b/>
      <sz val="8"/>
      <color indexed="81"/>
      <name val="Tahoma"/>
      <family val="2"/>
      <charset val="204"/>
    </font>
    <font>
      <sz val="10"/>
      <color indexed="10"/>
      <name val="Arial Cyr"/>
      <charset val="204"/>
    </font>
    <font>
      <sz val="10"/>
      <color rgb="FFFF0000"/>
      <name val="Arial Cyr"/>
      <charset val="204"/>
    </font>
    <font>
      <sz val="10"/>
      <color rgb="FF000000"/>
      <name val="Arial Cy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Continuous"/>
    </xf>
    <xf numFmtId="0" fontId="0" fillId="0" borderId="8" xfId="0" applyBorder="1"/>
    <xf numFmtId="0" fontId="0" fillId="0" borderId="9" xfId="0" applyBorder="1"/>
    <xf numFmtId="0" fontId="4" fillId="0" borderId="0" xfId="0" applyFont="1"/>
    <xf numFmtId="2" fontId="0" fillId="0" borderId="2" xfId="0" applyNumberFormat="1" applyBorder="1"/>
    <xf numFmtId="2" fontId="0" fillId="0" borderId="0" xfId="0" applyNumberFormat="1"/>
    <xf numFmtId="2" fontId="0" fillId="2" borderId="10" xfId="0" applyNumberFormat="1" applyFill="1" applyBorder="1"/>
    <xf numFmtId="2" fontId="0" fillId="0" borderId="11" xfId="0" applyNumberFormat="1" applyBorder="1"/>
    <xf numFmtId="2" fontId="0" fillId="0" borderId="4" xfId="0" applyNumberFormat="1" applyBorder="1"/>
    <xf numFmtId="2" fontId="0" fillId="0" borderId="6" xfId="0" applyNumberFormat="1" applyBorder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/>
    <xf numFmtId="2" fontId="6" fillId="0" borderId="12" xfId="0" applyNumberFormat="1" applyFont="1" applyBorder="1"/>
    <xf numFmtId="2" fontId="0" fillId="2" borderId="13" xfId="0" applyNumberFormat="1" applyFill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2" fontId="7" fillId="0" borderId="10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0">
                <a:effectLst/>
              </a:rPr>
              <a:t>Распределение по толщине изоляции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C9B-4114-9C29-D0E0BFDED0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C9B-4114-9C29-D0E0BFDED0F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C9B-4114-9C29-D0E0BFDED0F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'Цилиндрическая изоляция(макрос)'!$B$29:$B$31</c:f>
              <c:strCache>
                <c:ptCount val="3"/>
                <c:pt idx="0">
                  <c:v>первый </c:v>
                </c:pt>
                <c:pt idx="1">
                  <c:v>второй</c:v>
                </c:pt>
                <c:pt idx="2">
                  <c:v>третий</c:v>
                </c:pt>
              </c:strCache>
            </c:strRef>
          </c:cat>
          <c:val>
            <c:numRef>
              <c:f>'Цилиндрическая изоляция(макрос)'!$C$29:$C$31</c:f>
              <c:numCache>
                <c:formatCode>0.00</c:formatCode>
                <c:ptCount val="3"/>
                <c:pt idx="0">
                  <c:v>0.19550461320294341</c:v>
                </c:pt>
                <c:pt idx="1">
                  <c:v>0</c:v>
                </c:pt>
                <c:pt idx="2">
                  <c:v>0.10449538679705657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9B-4114-9C29-D0E0BFDED0F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0">
                <a:effectLst/>
              </a:rPr>
              <a:t>Распределение по толщине изоляции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'Цилиндрическая изоляция(макрос)'!$B$29:$B$31</c:f>
              <c:strCache>
                <c:ptCount val="3"/>
                <c:pt idx="0">
                  <c:v>первый </c:v>
                </c:pt>
                <c:pt idx="1">
                  <c:v>второй</c:v>
                </c:pt>
                <c:pt idx="2">
                  <c:v>третий</c:v>
                </c:pt>
              </c:strCache>
            </c:strRef>
          </c:cat>
          <c:val>
            <c:numRef>
              <c:f>'Цилиндрическая изоляция(макрос)'!$C$29:$C$31</c:f>
              <c:numCache>
                <c:formatCode>0.00</c:formatCode>
                <c:ptCount val="3"/>
                <c:pt idx="0">
                  <c:v>0.19550461320294341</c:v>
                </c:pt>
                <c:pt idx="1">
                  <c:v>0</c:v>
                </c:pt>
                <c:pt idx="2">
                  <c:v>0.10449538679705657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9C-42E2-9243-E80EEAD57B8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7</xdr:row>
      <xdr:rowOff>76200</xdr:rowOff>
    </xdr:from>
    <xdr:to>
      <xdr:col>11</xdr:col>
      <xdr:colOff>390525</xdr:colOff>
      <xdr:row>24</xdr:row>
      <xdr:rowOff>66675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C1D969D-DBD9-48F6-B66D-8CE94D6C5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27</xdr:row>
          <xdr:rowOff>161925</xdr:rowOff>
        </xdr:from>
        <xdr:to>
          <xdr:col>5</xdr:col>
          <xdr:colOff>361950</xdr:colOff>
          <xdr:row>30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61912</xdr:colOff>
      <xdr:row>8</xdr:row>
      <xdr:rowOff>80962</xdr:rowOff>
    </xdr:from>
    <xdr:to>
      <xdr:col>15</xdr:col>
      <xdr:colOff>366712</xdr:colOff>
      <xdr:row>25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EE04608-5E6E-15F4-D873-A88619218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F40"/>
  <sheetViews>
    <sheetView workbookViewId="0">
      <selection activeCell="N36" sqref="N36"/>
    </sheetView>
  </sheetViews>
  <sheetFormatPr defaultRowHeight="12.75" x14ac:dyDescent="0.2"/>
  <cols>
    <col min="1" max="1" width="6.42578125" customWidth="1"/>
    <col min="2" max="2" width="64.85546875" bestFit="1" customWidth="1"/>
    <col min="3" max="3" width="17.7109375" bestFit="1" customWidth="1"/>
    <col min="6" max="6" width="1.5703125" bestFit="1" customWidth="1"/>
  </cols>
  <sheetData>
    <row r="1" spans="2:6" ht="15.75" x14ac:dyDescent="0.25">
      <c r="B1" s="11" t="s">
        <v>33</v>
      </c>
      <c r="C1" s="11"/>
    </row>
    <row r="2" spans="2:6" ht="13.5" thickBot="1" x14ac:dyDescent="0.25"/>
    <row r="3" spans="2:6" ht="13.5" thickBot="1" x14ac:dyDescent="0.25">
      <c r="B3" s="18" t="s">
        <v>0</v>
      </c>
      <c r="C3" s="19" t="s">
        <v>1</v>
      </c>
    </row>
    <row r="4" spans="2:6" x14ac:dyDescent="0.2">
      <c r="B4" s="20" t="s">
        <v>2</v>
      </c>
      <c r="C4" s="4"/>
      <c r="F4" t="s">
        <v>3</v>
      </c>
    </row>
    <row r="5" spans="2:6" x14ac:dyDescent="0.2">
      <c r="B5" s="3" t="s">
        <v>4</v>
      </c>
      <c r="C5" s="4">
        <v>24</v>
      </c>
    </row>
    <row r="6" spans="2:6" x14ac:dyDescent="0.2">
      <c r="B6" s="3" t="s">
        <v>5</v>
      </c>
      <c r="C6" s="4">
        <v>0.9</v>
      </c>
    </row>
    <row r="7" spans="2:6" x14ac:dyDescent="0.2">
      <c r="B7" s="3" t="s">
        <v>6</v>
      </c>
      <c r="C7" s="4">
        <v>0.7</v>
      </c>
    </row>
    <row r="8" spans="2:6" x14ac:dyDescent="0.2">
      <c r="B8" s="3" t="s">
        <v>32</v>
      </c>
      <c r="C8" s="4">
        <v>0.3</v>
      </c>
    </row>
    <row r="9" spans="2:6" x14ac:dyDescent="0.2">
      <c r="B9" s="20" t="s">
        <v>7</v>
      </c>
      <c r="C9" s="4"/>
    </row>
    <row r="10" spans="2:6" x14ac:dyDescent="0.2">
      <c r="B10" s="3" t="s">
        <v>8</v>
      </c>
      <c r="C10" s="4">
        <v>10</v>
      </c>
    </row>
    <row r="11" spans="2:6" x14ac:dyDescent="0.2">
      <c r="B11" s="3" t="s">
        <v>9</v>
      </c>
      <c r="C11" s="4">
        <v>30</v>
      </c>
    </row>
    <row r="12" spans="2:6" x14ac:dyDescent="0.2">
      <c r="B12" s="3" t="s">
        <v>34</v>
      </c>
      <c r="C12" s="4">
        <v>80</v>
      </c>
    </row>
    <row r="13" spans="2:6" x14ac:dyDescent="0.2">
      <c r="B13" s="20" t="s">
        <v>30</v>
      </c>
      <c r="C13" s="4">
        <v>0.3</v>
      </c>
    </row>
    <row r="14" spans="2:6" x14ac:dyDescent="0.2">
      <c r="B14" s="20" t="s">
        <v>31</v>
      </c>
      <c r="C14" s="4"/>
    </row>
    <row r="15" spans="2:6" x14ac:dyDescent="0.2">
      <c r="B15" s="3" t="s">
        <v>10</v>
      </c>
      <c r="C15" s="4">
        <v>0.2</v>
      </c>
    </row>
    <row r="16" spans="2:6" x14ac:dyDescent="0.2">
      <c r="B16" s="3" t="s">
        <v>11</v>
      </c>
      <c r="C16" s="4">
        <v>0.23</v>
      </c>
    </row>
    <row r="17" spans="2:3" x14ac:dyDescent="0.2">
      <c r="B17" s="3" t="s">
        <v>12</v>
      </c>
      <c r="C17" s="16">
        <f>C16+2*C29</f>
        <v>0.62100922395726454</v>
      </c>
    </row>
    <row r="18" spans="2:3" x14ac:dyDescent="0.2">
      <c r="B18" s="3" t="s">
        <v>13</v>
      </c>
      <c r="C18" s="16">
        <f>C17+2*C30</f>
        <v>0.62100922395726454</v>
      </c>
    </row>
    <row r="19" spans="2:3" x14ac:dyDescent="0.2">
      <c r="B19" s="3" t="s">
        <v>35</v>
      </c>
      <c r="C19" s="16">
        <f>C18+2*C31</f>
        <v>0.83</v>
      </c>
    </row>
    <row r="20" spans="2:3" x14ac:dyDescent="0.2">
      <c r="B20" s="20" t="s">
        <v>14</v>
      </c>
      <c r="C20" s="4"/>
    </row>
    <row r="21" spans="2:3" x14ac:dyDescent="0.2">
      <c r="B21" s="3" t="s">
        <v>15</v>
      </c>
      <c r="C21" s="4">
        <v>20</v>
      </c>
    </row>
    <row r="22" spans="2:3" x14ac:dyDescent="0.2">
      <c r="B22" s="3" t="s">
        <v>16</v>
      </c>
      <c r="C22" s="4">
        <f>400+500</f>
        <v>900</v>
      </c>
    </row>
    <row r="23" spans="2:3" x14ac:dyDescent="0.2">
      <c r="B23" s="3" t="s">
        <v>17</v>
      </c>
      <c r="C23" s="4">
        <v>30</v>
      </c>
    </row>
    <row r="24" spans="2:3" x14ac:dyDescent="0.2">
      <c r="B24" s="20" t="s">
        <v>18</v>
      </c>
      <c r="C24" s="4"/>
    </row>
    <row r="25" spans="2:3" x14ac:dyDescent="0.2">
      <c r="B25" s="3" t="s">
        <v>19</v>
      </c>
      <c r="C25" s="4">
        <v>500</v>
      </c>
    </row>
    <row r="26" spans="2:3" ht="13.5" thickBot="1" x14ac:dyDescent="0.25">
      <c r="B26" s="5" t="s">
        <v>20</v>
      </c>
      <c r="C26" s="6">
        <v>100</v>
      </c>
    </row>
    <row r="27" spans="2:3" ht="13.5" thickBot="1" x14ac:dyDescent="0.25"/>
    <row r="28" spans="2:3" ht="13.5" thickBot="1" x14ac:dyDescent="0.25">
      <c r="B28" s="8" t="s">
        <v>21</v>
      </c>
      <c r="C28" s="2" t="s">
        <v>22</v>
      </c>
    </row>
    <row r="29" spans="2:3" x14ac:dyDescent="0.2">
      <c r="B29" s="7" t="s">
        <v>23</v>
      </c>
      <c r="C29" s="21">
        <v>0.19550461197863228</v>
      </c>
    </row>
    <row r="30" spans="2:3" x14ac:dyDescent="0.2">
      <c r="B30" s="9" t="s">
        <v>24</v>
      </c>
      <c r="C30" s="21">
        <v>0</v>
      </c>
    </row>
    <row r="31" spans="2:3" ht="13.5" thickBot="1" x14ac:dyDescent="0.25">
      <c r="B31" s="9" t="s">
        <v>36</v>
      </c>
      <c r="C31" s="21">
        <v>0.10449538802136769</v>
      </c>
    </row>
    <row r="32" spans="2:3" ht="13.5" thickBot="1" x14ac:dyDescent="0.25">
      <c r="B32" s="1" t="s">
        <v>25</v>
      </c>
      <c r="C32" s="12">
        <f>SUM(C29:C31)</f>
        <v>0.3</v>
      </c>
    </row>
    <row r="33" spans="2:3" ht="13.5" thickBot="1" x14ac:dyDescent="0.25">
      <c r="C33" s="13"/>
    </row>
    <row r="34" spans="2:3" ht="13.5" thickBot="1" x14ac:dyDescent="0.25">
      <c r="B34" s="26" t="s">
        <v>37</v>
      </c>
      <c r="C34" s="14">
        <f>3.14*C10*C29*(C29+C16)+3.14*C11*C30*(C30+C16+2*C29)+3.14*C12*C31*(C31+C16+2*C29+2*C30)</f>
        <v>21.656052529611774</v>
      </c>
    </row>
    <row r="35" spans="2:3" x14ac:dyDescent="0.2">
      <c r="C35" s="13"/>
    </row>
    <row r="36" spans="2:3" ht="13.5" thickBot="1" x14ac:dyDescent="0.25">
      <c r="C36" s="13"/>
    </row>
    <row r="37" spans="2:3" x14ac:dyDescent="0.2">
      <c r="B37" s="10" t="s">
        <v>27</v>
      </c>
      <c r="C37" s="15">
        <f>1/(1/(C25*C15)+1*LN(C16/C15)/(2*C5)+LN(C17/C16)/(2*C6)+LN(C18/C17)/(2*C7)+LN(C19/C18)/(2*C8)+1/(C26*C18))</f>
        <v>0.93958859162445763</v>
      </c>
    </row>
    <row r="38" spans="2:3" x14ac:dyDescent="0.2">
      <c r="B38" s="3" t="s">
        <v>28</v>
      </c>
      <c r="C38" s="16">
        <f>3.14*C37*(C22-C21)</f>
        <v>2596.2711963767015</v>
      </c>
    </row>
    <row r="39" spans="2:3" x14ac:dyDescent="0.2">
      <c r="B39" s="3" t="s">
        <v>26</v>
      </c>
      <c r="C39" s="16">
        <f>C21+3.14/(C38*C26*C19)</f>
        <v>20.000014571407391</v>
      </c>
    </row>
    <row r="40" spans="2:3" ht="13.5" thickBot="1" x14ac:dyDescent="0.25">
      <c r="B40" s="5" t="s">
        <v>29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4.1410807227748592E-8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Стр. &amp;P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H40"/>
  <sheetViews>
    <sheetView tabSelected="1" workbookViewId="0">
      <selection activeCell="O40" sqref="O40"/>
    </sheetView>
  </sheetViews>
  <sheetFormatPr defaultRowHeight="12.75" x14ac:dyDescent="0.2"/>
  <cols>
    <col min="2" max="2" width="64.85546875" bestFit="1" customWidth="1"/>
    <col min="3" max="3" width="17.7109375" bestFit="1" customWidth="1"/>
    <col min="6" max="6" width="7.28515625" customWidth="1"/>
    <col min="8" max="8" width="22.28515625" customWidth="1"/>
  </cols>
  <sheetData>
    <row r="1" spans="2:8" ht="15.75" x14ac:dyDescent="0.25">
      <c r="B1" s="11" t="s">
        <v>33</v>
      </c>
      <c r="C1" s="11"/>
    </row>
    <row r="2" spans="2:8" ht="13.5" thickBot="1" x14ac:dyDescent="0.25"/>
    <row r="3" spans="2:8" ht="13.5" thickBot="1" x14ac:dyDescent="0.25">
      <c r="B3" s="18" t="s">
        <v>0</v>
      </c>
      <c r="C3" s="19" t="s">
        <v>1</v>
      </c>
    </row>
    <row r="4" spans="2:8" x14ac:dyDescent="0.2">
      <c r="B4" s="20" t="s">
        <v>2</v>
      </c>
      <c r="C4" s="4"/>
      <c r="F4" t="s">
        <v>3</v>
      </c>
    </row>
    <row r="5" spans="2:8" x14ac:dyDescent="0.2">
      <c r="B5" s="3" t="s">
        <v>4</v>
      </c>
      <c r="C5" s="4">
        <v>24</v>
      </c>
      <c r="G5" t="s">
        <v>38</v>
      </c>
      <c r="H5" t="s">
        <v>68</v>
      </c>
    </row>
    <row r="6" spans="2:8" x14ac:dyDescent="0.2">
      <c r="B6" s="3" t="s">
        <v>5</v>
      </c>
      <c r="C6" s="4">
        <v>0.9</v>
      </c>
      <c r="G6" t="s">
        <v>39</v>
      </c>
      <c r="H6" t="s">
        <v>69</v>
      </c>
    </row>
    <row r="7" spans="2:8" x14ac:dyDescent="0.2">
      <c r="B7" s="3" t="s">
        <v>6</v>
      </c>
      <c r="C7" s="4">
        <v>0.7</v>
      </c>
      <c r="G7" t="s">
        <v>40</v>
      </c>
      <c r="H7" t="s">
        <v>70</v>
      </c>
    </row>
    <row r="8" spans="2:8" x14ac:dyDescent="0.2">
      <c r="B8" s="3" t="s">
        <v>32</v>
      </c>
      <c r="C8" s="4">
        <v>0.3</v>
      </c>
      <c r="G8" t="s">
        <v>41</v>
      </c>
      <c r="H8" t="s">
        <v>71</v>
      </c>
    </row>
    <row r="9" spans="2:8" x14ac:dyDescent="0.2">
      <c r="B9" s="20" t="s">
        <v>7</v>
      </c>
      <c r="C9" s="4"/>
    </row>
    <row r="10" spans="2:8" x14ac:dyDescent="0.2">
      <c r="B10" s="3" t="s">
        <v>8</v>
      </c>
      <c r="C10" s="4">
        <v>10</v>
      </c>
      <c r="G10" t="s">
        <v>42</v>
      </c>
      <c r="H10" t="s">
        <v>72</v>
      </c>
    </row>
    <row r="11" spans="2:8" x14ac:dyDescent="0.2">
      <c r="B11" s="3" t="s">
        <v>9</v>
      </c>
      <c r="C11" s="4">
        <v>30</v>
      </c>
      <c r="G11" t="s">
        <v>43</v>
      </c>
      <c r="H11" t="s">
        <v>73</v>
      </c>
    </row>
    <row r="12" spans="2:8" x14ac:dyDescent="0.2">
      <c r="B12" s="3" t="s">
        <v>34</v>
      </c>
      <c r="C12" s="4">
        <v>80</v>
      </c>
      <c r="G12" t="s">
        <v>44</v>
      </c>
      <c r="H12" t="s">
        <v>74</v>
      </c>
    </row>
    <row r="13" spans="2:8" x14ac:dyDescent="0.2">
      <c r="B13" s="20" t="s">
        <v>30</v>
      </c>
      <c r="C13" s="4">
        <v>0.3</v>
      </c>
      <c r="G13" t="s">
        <v>45</v>
      </c>
      <c r="H13" t="s">
        <v>75</v>
      </c>
    </row>
    <row r="14" spans="2:8" x14ac:dyDescent="0.2">
      <c r="B14" s="20" t="s">
        <v>31</v>
      </c>
      <c r="C14" s="4"/>
    </row>
    <row r="15" spans="2:8" x14ac:dyDescent="0.2">
      <c r="B15" s="3" t="s">
        <v>10</v>
      </c>
      <c r="C15" s="4">
        <v>0.2</v>
      </c>
      <c r="G15" t="s">
        <v>46</v>
      </c>
      <c r="H15" t="s">
        <v>76</v>
      </c>
    </row>
    <row r="16" spans="2:8" x14ac:dyDescent="0.2">
      <c r="B16" s="3" t="s">
        <v>11</v>
      </c>
      <c r="C16" s="4">
        <v>0.23</v>
      </c>
      <c r="G16" t="s">
        <v>47</v>
      </c>
      <c r="H16" t="s">
        <v>77</v>
      </c>
    </row>
    <row r="17" spans="2:8" x14ac:dyDescent="0.2">
      <c r="B17" s="3" t="s">
        <v>12</v>
      </c>
      <c r="C17" s="16">
        <f>C16+2*C29</f>
        <v>0.62100922640588685</v>
      </c>
      <c r="G17" t="s">
        <v>48</v>
      </c>
      <c r="H17" t="s">
        <v>65</v>
      </c>
    </row>
    <row r="18" spans="2:8" x14ac:dyDescent="0.2">
      <c r="B18" s="3" t="s">
        <v>13</v>
      </c>
      <c r="C18" s="16">
        <f>C17+2*C30</f>
        <v>0.62100922640588685</v>
      </c>
      <c r="G18" t="s">
        <v>49</v>
      </c>
      <c r="H18" t="s">
        <v>66</v>
      </c>
    </row>
    <row r="19" spans="2:8" x14ac:dyDescent="0.2">
      <c r="B19" s="3" t="s">
        <v>35</v>
      </c>
      <c r="C19" s="16">
        <f>C18+2*C31</f>
        <v>0.83</v>
      </c>
      <c r="G19" t="s">
        <v>50</v>
      </c>
      <c r="H19" t="s">
        <v>67</v>
      </c>
    </row>
    <row r="20" spans="2:8" x14ac:dyDescent="0.2">
      <c r="B20" s="20" t="s">
        <v>14</v>
      </c>
      <c r="C20" s="4"/>
    </row>
    <row r="21" spans="2:8" x14ac:dyDescent="0.2">
      <c r="B21" s="3" t="s">
        <v>15</v>
      </c>
      <c r="C21" s="4">
        <v>20</v>
      </c>
      <c r="G21" t="s">
        <v>51</v>
      </c>
      <c r="H21" t="s">
        <v>78</v>
      </c>
    </row>
    <row r="22" spans="2:8" x14ac:dyDescent="0.2">
      <c r="B22" s="3" t="s">
        <v>16</v>
      </c>
      <c r="C22" s="4">
        <f>400+500</f>
        <v>900</v>
      </c>
      <c r="G22" t="s">
        <v>52</v>
      </c>
      <c r="H22" t="s">
        <v>79</v>
      </c>
    </row>
    <row r="23" spans="2:8" x14ac:dyDescent="0.2">
      <c r="B23" s="3" t="s">
        <v>17</v>
      </c>
      <c r="C23" s="4">
        <v>30</v>
      </c>
      <c r="G23" t="s">
        <v>53</v>
      </c>
      <c r="H23" t="s">
        <v>80</v>
      </c>
    </row>
    <row r="24" spans="2:8" x14ac:dyDescent="0.2">
      <c r="B24" s="20" t="s">
        <v>18</v>
      </c>
      <c r="C24" s="4"/>
    </row>
    <row r="25" spans="2:8" x14ac:dyDescent="0.2">
      <c r="B25" s="3" t="s">
        <v>19</v>
      </c>
      <c r="C25" s="4">
        <v>500</v>
      </c>
      <c r="G25" t="s">
        <v>54</v>
      </c>
      <c r="H25" t="s">
        <v>81</v>
      </c>
    </row>
    <row r="26" spans="2:8" ht="13.5" thickBot="1" x14ac:dyDescent="0.25">
      <c r="B26" s="5" t="s">
        <v>20</v>
      </c>
      <c r="C26" s="6">
        <v>100</v>
      </c>
      <c r="G26" t="s">
        <v>55</v>
      </c>
      <c r="H26" t="s">
        <v>82</v>
      </c>
    </row>
    <row r="27" spans="2:8" ht="13.5" thickBot="1" x14ac:dyDescent="0.25"/>
    <row r="28" spans="2:8" ht="13.5" thickBot="1" x14ac:dyDescent="0.25">
      <c r="B28" s="8" t="s">
        <v>21</v>
      </c>
      <c r="C28" s="2" t="s">
        <v>22</v>
      </c>
    </row>
    <row r="29" spans="2:8" ht="13.5" thickBot="1" x14ac:dyDescent="0.25">
      <c r="B29" s="7" t="s">
        <v>23</v>
      </c>
      <c r="C29" s="27">
        <v>0.19550461320294341</v>
      </c>
      <c r="G29" t="s">
        <v>56</v>
      </c>
      <c r="H29" t="s">
        <v>83</v>
      </c>
    </row>
    <row r="30" spans="2:8" ht="13.5" thickBot="1" x14ac:dyDescent="0.25">
      <c r="B30" s="9" t="s">
        <v>24</v>
      </c>
      <c r="C30" s="27">
        <v>0</v>
      </c>
      <c r="G30" t="s">
        <v>57</v>
      </c>
      <c r="H30" t="s">
        <v>84</v>
      </c>
    </row>
    <row r="31" spans="2:8" ht="13.5" thickBot="1" x14ac:dyDescent="0.25">
      <c r="B31" s="9" t="s">
        <v>36</v>
      </c>
      <c r="C31" s="27">
        <v>0.10449538679705657</v>
      </c>
      <c r="G31" t="s">
        <v>58</v>
      </c>
      <c r="H31" t="s">
        <v>85</v>
      </c>
    </row>
    <row r="32" spans="2:8" ht="13.5" thickBot="1" x14ac:dyDescent="0.25">
      <c r="B32" s="1" t="s">
        <v>25</v>
      </c>
      <c r="C32" s="12">
        <f>SUM(C29:C31)</f>
        <v>0.3</v>
      </c>
      <c r="G32" t="s">
        <v>59</v>
      </c>
      <c r="H32" t="s">
        <v>86</v>
      </c>
    </row>
    <row r="33" spans="1:8" ht="13.5" thickBot="1" x14ac:dyDescent="0.25">
      <c r="B33" s="23"/>
      <c r="C33" s="13"/>
    </row>
    <row r="34" spans="1:8" ht="13.5" thickBot="1" x14ac:dyDescent="0.25">
      <c r="A34" s="25"/>
      <c r="B34" s="24" t="s">
        <v>37</v>
      </c>
      <c r="C34" s="22">
        <f>3.14*C10*C29*(C29+C16)+3.14*C11*C30*(C30+C16+2*C29)+3.14*C12*C31*(C31+C16+2*C29+2*C30)</f>
        <v>21.656052362495974</v>
      </c>
      <c r="G34" t="s">
        <v>60</v>
      </c>
      <c r="H34" t="s">
        <v>87</v>
      </c>
    </row>
    <row r="35" spans="1:8" x14ac:dyDescent="0.2">
      <c r="C35" s="13"/>
    </row>
    <row r="36" spans="1:8" ht="13.5" thickBot="1" x14ac:dyDescent="0.25">
      <c r="C36" s="13"/>
    </row>
    <row r="37" spans="1:8" x14ac:dyDescent="0.2">
      <c r="B37" s="10" t="s">
        <v>27</v>
      </c>
      <c r="C37" s="15">
        <f>1/(1/(C25*C15)+1*LN(C16/C15)/(2*C5)+LN(C17/C16)/(2*C6)+LN(C18/C17)/(2*C7)+LN(C19/C18)/(2*C8)+1/(C26*C18))</f>
        <v>0.93958859554824603</v>
      </c>
      <c r="G37" t="s">
        <v>61</v>
      </c>
      <c r="H37" t="s">
        <v>88</v>
      </c>
    </row>
    <row r="38" spans="1:8" x14ac:dyDescent="0.2">
      <c r="B38" s="3" t="s">
        <v>28</v>
      </c>
      <c r="C38" s="16">
        <f>3.14*C37*(C22-C21)</f>
        <v>2596.2712072189133</v>
      </c>
      <c r="G38" t="s">
        <v>62</v>
      </c>
      <c r="H38" t="s">
        <v>89</v>
      </c>
    </row>
    <row r="39" spans="1:8" x14ac:dyDescent="0.2">
      <c r="B39" s="3" t="s">
        <v>26</v>
      </c>
      <c r="C39" s="16">
        <f>C21+3.14/(C38*C26*C19)</f>
        <v>20.000014571407331</v>
      </c>
      <c r="G39" t="s">
        <v>63</v>
      </c>
      <c r="H39" t="s">
        <v>90</v>
      </c>
    </row>
    <row r="40" spans="1:8" ht="13.5" thickBot="1" x14ac:dyDescent="0.25">
      <c r="B40" s="5" t="s">
        <v>29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8.9251273038826184E-11</v>
      </c>
      <c r="G40" t="s">
        <v>64</v>
      </c>
      <c r="H40" t="s">
        <v>91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Кнопка_Расчёт">
                <anchor moveWithCells="1" sizeWithCells="1">
                  <from>
                    <xdr:col>3</xdr:col>
                    <xdr:colOff>247650</xdr:colOff>
                    <xdr:row>27</xdr:row>
                    <xdr:rowOff>161925</xdr:rowOff>
                  </from>
                  <to>
                    <xdr:col>5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Цилиндрическая изоляция</vt:lpstr>
      <vt:lpstr>Цилиндрическая изоляция(макрос)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Прохорова</dc:creator>
  <cp:lastModifiedBy>Лазаришин Артур Андреевич</cp:lastModifiedBy>
  <dcterms:created xsi:type="dcterms:W3CDTF">2004-03-07T16:02:19Z</dcterms:created>
  <dcterms:modified xsi:type="dcterms:W3CDTF">2022-12-22T20:51:09Z</dcterms:modified>
</cp:coreProperties>
</file>